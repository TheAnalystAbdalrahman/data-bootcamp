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94166dbe7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ture Guide" sheetId="1" r:id="Rbc75a90383164a17"/>
    <x:sheet xmlns:r="http://schemas.openxmlformats.org/officeDocument/2006/relationships" name="Practice Data" sheetId="2" r:id="R0066d205445943cf"/>
    <x:sheet xmlns:r="http://schemas.openxmlformats.org/officeDocument/2006/relationships" name="Instructor Key" sheetId="3" r:id="Re26e556892af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 &quot;SDG&quot;"/>
  </x:numFmts>
  <x:fonts count="7">
    <x:font>
      <x:sz val="11"/>
      <x:name val="Carlito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0e64f00724d95" /><Relationship Type="http://schemas.openxmlformats.org/officeDocument/2006/relationships/theme" Target="/xl/theme/theme1.xml" Id="Rf2e64b6036d24e67" /><Relationship Type="http://schemas.openxmlformats.org/officeDocument/2006/relationships/sharedStrings" Target="/xl/sharedStrings.xml" Id="R81f998bd491b413b" /><Relationship Type="http://schemas.openxmlformats.org/officeDocument/2006/relationships/worksheet" Target="/xl/worksheets/sheet1.xml" Id="Rbc75a90383164a17" /><Relationship Type="http://schemas.openxmlformats.org/officeDocument/2006/relationships/worksheet" Target="/xl/worksheets/sheet2.xml" Id="R0066d205445943cf" /><Relationship Type="http://schemas.openxmlformats.org/officeDocument/2006/relationships/worksheet" Target="/xl/worksheets/sheet3.xml" Id="Re26e556892af4497" /></Relationships>
</file>

<file path=xl/tables/table1.xml><?xml version="1.0" encoding="utf-8"?>
<x:table xmlns:x="http://schemas.openxmlformats.org/spreadsheetml/2006/main" id="1" name="MarketPricePractice" displayName="MarketPricePractice" ref="A1:I25" headerRowCount="1" totalsRowCount="0" totalsRowShown="0">
  <x:tableColumns count="9">
    <x:tableColumn id="1" name="transaction_id"/>
    <x:tableColumn id="2" name="date"/>
    <x:tableColumn id="3" name="market"/>
    <x:tableColumn id="4" name="state"/>
    <x:tableColumn id="5" name="commodity"/>
    <x:tableColumn id="6" name="unit"/>
    <x:tableColumn id="7" name="quantity"/>
    <x:tableColumn id="8" name="unit_price_sdg"/>
    <x:tableColumn id="9" name="purchase_cost_sd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PriceKey" displayName="MarketPriceKey" ref="A1:I25" headerRowCount="1" totalsRowCount="0" totalsRowShown="0">
  <x:tableColumns count="9">
    <x:tableColumn id="1" name="transaction_id"/>
    <x:tableColumn id="2" name="date"/>
    <x:tableColumn id="3" name="market"/>
    <x:tableColumn id="4" name="state"/>
    <x:tableColumn id="5" name="commodity"/>
    <x:tableColumn id="6" name="unit"/>
    <x:tableColumn id="7" name="quantity"/>
    <x:tableColumn id="8" name="unit_price_sdg"/>
    <x:tableColumn id="9" name="purchase_cost_sd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1f398b26f94e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7c8572fa06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</x:row>
    <x:row r="2">
      <x:c r="A2" s="1" t="str">
        <x:v>Lecture 1: Spreadsheet Foundations</x:v>
      </x:c>
      <x:c r="B2" s="9"/>
      <x:c r="C2" s="9"/>
      <x:c r="D2" s="9"/>
      <x:c r="E2" s="9"/>
      <x:c r="F2" s="9"/>
      <x:c r="G2" s="9"/>
      <x:c r="H2" s="9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16" t="str">
        <x:v>Class outcome</x:v>
      </x:c>
      <x:c r="B5" s="21" t="str">
        <x:v>Inspect a table, calculate basic metrics, and write one evidence-based observation.</x:v>
      </x:c>
      <x:c r="C5" s="9"/>
      <x:c r="D5" s="9"/>
      <x:c r="E5" s="9"/>
      <x:c r="F5" s="9"/>
      <x:c r="G5" s="9"/>
      <x:c r="H5" s="9"/>
    </x:row>
    <x:row r="6">
      <x:c r="A6" s="18" t="str">
        <x:v>1</x:v>
      </x:c>
      <x:c r="B6" s="22" t="str">
        <x:v>Identify rows, columns, records, fields, data types, and the unique ID.</x:v>
      </x:c>
      <x:c r="C6" s="9"/>
      <x:c r="D6" s="9"/>
      <x:c r="E6" s="9"/>
      <x:c r="F6" s="9"/>
      <x:c r="G6" s="9"/>
      <x:c r="H6" s="9"/>
    </x:row>
    <x:row r="7">
      <x:c r="A7" s="18" t="str">
        <x:v>2</x:v>
      </x:c>
      <x:c r="B7" s="22" t="str">
        <x:v>Sort unit prices and filter by commodity and state.</x:v>
      </x:c>
      <x:c r="C7" s="9"/>
      <x:c r="D7" s="9"/>
      <x:c r="E7" s="9"/>
      <x:c r="F7" s="9"/>
      <x:c r="G7" s="9"/>
      <x:c r="H7" s="9"/>
    </x:row>
    <x:row r="8">
      <x:c r="A8" s="18" t="str">
        <x:v>3</x:v>
      </x:c>
      <x:c r="B8" s="22" t="str">
        <x:v>Use SUM, AVERAGE, MIN, MAX, COUNT, and COUNTA.</x:v>
      </x:c>
      <x:c r="C8" s="9"/>
      <x:c r="D8" s="9"/>
      <x:c r="E8" s="9"/>
      <x:c r="F8" s="9"/>
      <x:c r="G8" s="9"/>
      <x:c r="H8" s="9"/>
    </x:row>
    <x:row r="9">
      <x:c r="A9" s="18" t="str">
        <x:v>4</x:v>
      </x:c>
      <x:c r="B9" s="22" t="str">
        <x:v>Calculate purchase cost as quantity × unit price.</x:v>
      </x:c>
      <x:c r="C9" s="9"/>
      <x:c r="D9" s="9"/>
      <x:c r="E9" s="9"/>
      <x:c r="F9" s="9"/>
      <x:c r="G9" s="9"/>
      <x:c r="H9" s="9"/>
    </x:row>
    <x:row r="10">
      <x:c r="A10" s="18" t="str">
        <x:v>5</x:v>
      </x:c>
      <x:c r="B10" s="22" t="str">
        <x:v>Compare relative references with one fixed absolute reference.</x:v>
      </x:c>
      <x:c r="C10" s="9"/>
      <x:c r="D10" s="9"/>
      <x:c r="E10" s="9"/>
      <x:c r="F10" s="9"/>
      <x:c r="G10" s="9"/>
      <x:c r="H10" s="9"/>
    </x:row>
    <x:row r="11">
      <x:c r="A11" s="18" t="str">
        <x:v>6</x:v>
      </x:c>
      <x:c r="B11" s="22" t="str">
        <x:v>Complete the independent challenge and write one supported observation.</x:v>
      </x:c>
      <x:c r="C11" s="9"/>
      <x:c r="D11" s="9"/>
      <x:c r="E11" s="9"/>
      <x:c r="F11" s="9"/>
      <x:c r="G11" s="9"/>
      <x:c r="H11" s="9"/>
    </x:row>
    <x:row r="12">
      <x:c r="A12" s="19"/>
      <x:c r="B12" s="22"/>
      <x:c r="C12" s="9"/>
      <x:c r="D12" s="9"/>
      <x:c r="E12" s="9"/>
      <x:c r="F12" s="9"/>
      <x:c r="G12" s="9"/>
      <x:c r="H12" s="9"/>
    </x:row>
    <x:row r="13">
      <x:c r="A13" s="20" t="str">
        <x:v>Independent challenge</x:v>
      </x:c>
      <x:c r="B13" s="23" t="str">
        <x:v>Question</x:v>
      </x:c>
      <x:c r="C13" s="9"/>
      <x:c r="D13" s="9"/>
      <x:c r="E13" s="9"/>
      <x:c r="F13" s="9"/>
      <x:c r="G13" s="9"/>
      <x:c r="H13" s="9"/>
    </x:row>
    <x:row r="14">
      <x:c r="A14" s="19" t="str">
        <x:v>1</x:v>
      </x:c>
      <x:c r="B14" s="22" t="str">
        <x:v>How many observations are recorded?</x:v>
      </x:c>
      <x:c r="C14" s="9"/>
      <x:c r="D14" s="9"/>
      <x:c r="E14" s="9"/>
      <x:c r="F14" s="9"/>
      <x:c r="G14" s="9"/>
      <x:c r="H14" s="9"/>
    </x:row>
    <x:row r="15">
      <x:c r="A15" s="19" t="str">
        <x:v>2</x:v>
      </x:c>
      <x:c r="B15" s="22" t="str">
        <x:v>What are the highest and lowest unit prices?</x:v>
      </x:c>
      <x:c r="C15" s="9"/>
      <x:c r="D15" s="9"/>
      <x:c r="E15" s="9"/>
      <x:c r="F15" s="9"/>
      <x:c r="G15" s="9"/>
      <x:c r="H15" s="9"/>
    </x:row>
    <x:row r="16">
      <x:c r="A16" s="19" t="str">
        <x:v>3</x:v>
      </x:c>
      <x:c r="B16" s="22" t="str">
        <x:v>What is the average unit price?</x:v>
      </x:c>
      <x:c r="C16" s="9"/>
      <x:c r="D16" s="9"/>
      <x:c r="E16" s="9"/>
      <x:c r="F16" s="9"/>
      <x:c r="G16" s="9"/>
      <x:c r="H16" s="9"/>
    </x:row>
    <x:row r="17">
      <x:c r="A17" s="19" t="str">
        <x:v>4</x:v>
      </x:c>
      <x:c r="B17" s="22" t="str">
        <x:v>What is the total purchase cost?</x:v>
      </x:c>
      <x:c r="C17" s="9"/>
      <x:c r="D17" s="9"/>
      <x:c r="E17" s="9"/>
      <x:c r="F17" s="9"/>
      <x:c r="G17" s="9"/>
      <x:c r="H17" s="9"/>
    </x:row>
    <x:row r="18">
      <x:c r="A18" s="19" t="str">
        <x:v>5</x:v>
      </x:c>
      <x:c r="B18" s="22" t="str">
        <x:v>For sorghum only, which market has the lowest listed unit price?</x:v>
      </x:c>
      <x:c r="C18" s="9"/>
      <x:c r="D18" s="9"/>
      <x:c r="E18" s="9"/>
      <x:c r="F18" s="9"/>
      <x:c r="G18" s="9"/>
      <x:c r="H18" s="9"/>
    </x:row>
    <x:row r="19">
      <x:c r="A19" s="19" t="str">
        <x:v>6</x:v>
      </x:c>
      <x:c r="B19" s="22" t="str">
        <x:v>Write one observation with a number and no invented cause.</x:v>
      </x:c>
      <x:c r="C19" s="9"/>
      <x:c r="D19" s="9"/>
      <x:c r="E19" s="9"/>
      <x:c r="F19" s="9"/>
      <x:c r="G19" s="9"/>
      <x:c r="H19" s="9"/>
    </x:row>
    <x:row r="20">
      <x:c r="A20" s="19"/>
      <x:c r="B20" s="22"/>
      <x:c r="C20" s="9"/>
      <x:c r="D20" s="9"/>
      <x:c r="E20" s="9"/>
      <x:c r="F20" s="9"/>
      <x:c r="G20" s="9"/>
      <x:c r="H20" s="9"/>
    </x:row>
    <x:row r="21">
      <x:c r="A21" s="20" t="str">
        <x:v>Analytical language</x:v>
      </x:c>
      <x:c r="B21" s="23" t="str">
        <x:v>Meaning</x:v>
      </x:c>
      <x:c r="C21" s="9"/>
      <x:c r="D21" s="9"/>
      <x:c r="E21" s="9"/>
      <x:c r="F21" s="9"/>
      <x:c r="G21" s="9"/>
      <x:c r="H21" s="9"/>
    </x:row>
    <x:row r="22">
      <x:c r="A22" s="19" t="str">
        <x:v>Observation</x:v>
      </x:c>
      <x:c r="B22" s="22" t="str">
        <x:v>A statement directly supported by the available data.</x:v>
      </x:c>
      <x:c r="C22" s="9"/>
      <x:c r="D22" s="9"/>
      <x:c r="E22" s="9"/>
      <x:c r="F22" s="9"/>
      <x:c r="G22" s="9"/>
      <x:c r="H22" s="9"/>
    </x:row>
    <x:row r="23">
      <x:c r="A23" s="19" t="str">
        <x:v>Hypothesis</x:v>
      </x:c>
      <x:c r="B23" s="22" t="str">
        <x:v>A possible explanation that needs more evidence.</x:v>
      </x:c>
      <x:c r="C23" s="9"/>
      <x:c r="D23" s="9"/>
      <x:c r="E23" s="9"/>
      <x:c r="F23" s="9"/>
      <x:c r="G23" s="9"/>
      <x:c r="H23" s="9"/>
    </x:row>
    <x:row r="24">
      <x:c r="A24" s="9"/>
      <x:c r="B24" s="9"/>
      <x:c r="C24" s="9"/>
      <x:c r="D24" s="9"/>
      <x:c r="E24" s="9"/>
      <x:c r="F24" s="9"/>
      <x:c r="G24" s="9"/>
      <x:c r="H24" s="9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37" t="str">
        <x:v>transaction_id</x:v>
      </x:c>
      <x:c r="B1" s="38" t="str">
        <x:v>date</x:v>
      </x:c>
      <x:c r="C1" s="38" t="str">
        <x:v>market</x:v>
      </x:c>
      <x:c r="D1" s="38" t="str">
        <x:v>state</x:v>
      </x:c>
      <x:c r="E1" s="38" t="str">
        <x:v>commodity</x:v>
      </x:c>
      <x:c r="F1" s="38" t="str">
        <x:v>unit</x:v>
      </x:c>
      <x:c r="G1" s="38" t="str">
        <x:v>quantity</x:v>
      </x:c>
      <x:c r="H1" s="38" t="str">
        <x:v>unit_price_sdg</x:v>
      </x:c>
      <x:c r="I1" s="39" t="str">
        <x:v>purchase_cost_sdg</x:v>
      </x:c>
    </x:row>
    <x:row r="2">
      <x:c r="A2" s="19" t="str">
        <x:v>MP001</x:v>
      </x:c>
      <x:c r="B2" s="44" t="d">
        <x:v>2026-08-01T00:00:00.000Z</x:v>
      </x:c>
      <x:c r="C2" s="19" t="str">
        <x:v>Port Sudan Central</x:v>
      </x:c>
      <x:c r="D2" s="19" t="str">
        <x:v>Red Sea</x:v>
      </x:c>
      <x:c r="E2" s="19" t="str">
        <x:v>Sorghum</x:v>
      </x:c>
      <x:c r="F2" s="19" t="str">
        <x:v>kg</x:v>
      </x:c>
      <x:c r="G2" s="45" t="n">
        <x:v>8</x:v>
      </x:c>
      <x:c r="H2" s="46" t="n">
        <x:v>2200</x:v>
      </x:c>
      <x:c r="I2" s="47"/>
    </x:row>
    <x:row r="3">
      <x:c r="A3" s="19" t="str">
        <x:v>MP002</x:v>
      </x:c>
      <x:c r="B3" s="44" t="d">
        <x:v>2026-08-01T00:00:00.000Z</x:v>
      </x:c>
      <x:c r="C3" s="19" t="str">
        <x:v>Kassala Main</x:v>
      </x:c>
      <x:c r="D3" s="19" t="str">
        <x:v>Kassala</x:v>
      </x:c>
      <x:c r="E3" s="19" t="str">
        <x:v>Sorghum</x:v>
      </x:c>
      <x:c r="F3" s="19" t="str">
        <x:v>kg</x:v>
      </x:c>
      <x:c r="G3" s="45" t="n">
        <x:v>12</x:v>
      </x:c>
      <x:c r="H3" s="46" t="n">
        <x:v>2050</x:v>
      </x:c>
      <x:c r="I3" s="47"/>
    </x:row>
    <x:row r="4">
      <x:c r="A4" s="19" t="str">
        <x:v>MP003</x:v>
      </x:c>
      <x:c r="B4" s="44" t="d">
        <x:v>2026-08-01T00:00:00.000Z</x:v>
      </x:c>
      <x:c r="C4" s="19" t="str">
        <x:v>Gedaref Market</x:v>
      </x:c>
      <x:c r="D4" s="19" t="str">
        <x:v>Gedaref</x:v>
      </x:c>
      <x:c r="E4" s="19" t="str">
        <x:v>Sesame</x:v>
      </x:c>
      <x:c r="F4" s="19" t="str">
        <x:v>kg</x:v>
      </x:c>
      <x:c r="G4" s="45" t="n">
        <x:v>5</x:v>
      </x:c>
      <x:c r="H4" s="46" t="n">
        <x:v>4700</x:v>
      </x:c>
      <x:c r="I4" s="47"/>
    </x:row>
    <x:row r="5">
      <x:c r="A5" s="19" t="str">
        <x:v>MP004</x:v>
      </x:c>
      <x:c r="B5" s="44" t="d">
        <x:v>2026-08-02T00:00:00.000Z</x:v>
      </x:c>
      <x:c r="C5" s="19" t="str">
        <x:v>Atbara Market</x:v>
      </x:c>
      <x:c r="D5" s="19" t="str">
        <x:v>River Nile</x:v>
      </x:c>
      <x:c r="E5" s="19" t="str">
        <x:v>Wheat</x:v>
      </x:c>
      <x:c r="F5" s="19" t="str">
        <x:v>kg</x:v>
      </x:c>
      <x:c r="G5" s="45" t="n">
        <x:v>7</x:v>
      </x:c>
      <x:c r="H5" s="46" t="n">
        <x:v>3100</x:v>
      </x:c>
      <x:c r="I5" s="47"/>
    </x:row>
    <x:row r="6">
      <x:c r="A6" s="19" t="str">
        <x:v>MP005</x:v>
      </x:c>
      <x:c r="B6" s="44" t="d">
        <x:v>2026-08-02T00:00:00.000Z</x:v>
      </x:c>
      <x:c r="C6" s="19" t="str">
        <x:v>Port Sudan Central</x:v>
      </x:c>
      <x:c r="D6" s="19" t="str">
        <x:v>Red Sea</x:v>
      </x:c>
      <x:c r="E6" s="19" t="str">
        <x:v>Cooking Oil</x:v>
      </x:c>
      <x:c r="F6" s="19" t="str">
        <x:v>litre</x:v>
      </x:c>
      <x:c r="G6" s="45" t="n">
        <x:v>4</x:v>
      </x:c>
      <x:c r="H6" s="46" t="n">
        <x:v>5100</x:v>
      </x:c>
      <x:c r="I6" s="47"/>
    </x:row>
    <x:row r="7">
      <x:c r="A7" s="19" t="str">
        <x:v>MP006</x:v>
      </x:c>
      <x:c r="B7" s="44" t="d">
        <x:v>2026-08-02T00:00:00.000Z</x:v>
      </x:c>
      <x:c r="C7" s="19" t="str">
        <x:v>Kassala Main</x:v>
      </x:c>
      <x:c r="D7" s="19" t="str">
        <x:v>Kassala</x:v>
      </x:c>
      <x:c r="E7" s="19" t="str">
        <x:v>Millet</x:v>
      </x:c>
      <x:c r="F7" s="19" t="str">
        <x:v>kg</x:v>
      </x:c>
      <x:c r="G7" s="45" t="n">
        <x:v>10</x:v>
      </x:c>
      <x:c r="H7" s="46" t="n">
        <x:v>2350</x:v>
      </x:c>
      <x:c r="I7" s="47"/>
    </x:row>
    <x:row r="8">
      <x:c r="A8" s="19" t="str">
        <x:v>MP007</x:v>
      </x:c>
      <x:c r="B8" s="44" t="d">
        <x:v>2026-08-03T00:00:00.000Z</x:v>
      </x:c>
      <x:c r="C8" s="19" t="str">
        <x:v>Gedaref Market</x:v>
      </x:c>
      <x:c r="D8" s="19" t="str">
        <x:v>Gedaref</x:v>
      </x:c>
      <x:c r="E8" s="19" t="str">
        <x:v>Sorghum</x:v>
      </x:c>
      <x:c r="F8" s="19" t="str">
        <x:v>kg</x:v>
      </x:c>
      <x:c r="G8" s="45" t="n">
        <x:v>15</x:v>
      </x:c>
      <x:c r="H8" s="46" t="n">
        <x:v>1980</x:v>
      </x:c>
      <x:c r="I8" s="47"/>
    </x:row>
    <x:row r="9">
      <x:c r="A9" s="19" t="str">
        <x:v>MP008</x:v>
      </x:c>
      <x:c r="B9" s="44" t="d">
        <x:v>2026-08-03T00:00:00.000Z</x:v>
      </x:c>
      <x:c r="C9" s="19" t="str">
        <x:v>Atbara Market</x:v>
      </x:c>
      <x:c r="D9" s="19" t="str">
        <x:v>River Nile</x:v>
      </x:c>
      <x:c r="E9" s="19" t="str">
        <x:v>Sesame</x:v>
      </x:c>
      <x:c r="F9" s="19" t="str">
        <x:v>kg</x:v>
      </x:c>
      <x:c r="G9" s="45" t="n">
        <x:v>6</x:v>
      </x:c>
      <x:c r="H9" s="46" t="n">
        <x:v>4550</x:v>
      </x:c>
      <x:c r="I9" s="47"/>
    </x:row>
    <x:row r="10">
      <x:c r="A10" s="19" t="str">
        <x:v>MP009</x:v>
      </x:c>
      <x:c r="B10" s="44" t="d">
        <x:v>2026-08-03T00:00:00.000Z</x:v>
      </x:c>
      <x:c r="C10" s="19" t="str">
        <x:v>Port Sudan Central</x:v>
      </x:c>
      <x:c r="D10" s="19" t="str">
        <x:v>Red Sea</x:v>
      </x:c>
      <x:c r="E10" s="19" t="str">
        <x:v>Wheat</x:v>
      </x:c>
      <x:c r="F10" s="19" t="str">
        <x:v>kg</x:v>
      </x:c>
      <x:c r="G10" s="45" t="n">
        <x:v>9</x:v>
      </x:c>
      <x:c r="H10" s="46" t="n">
        <x:v>3350</x:v>
      </x:c>
      <x:c r="I10" s="47"/>
    </x:row>
    <x:row r="11">
      <x:c r="A11" s="19" t="str">
        <x:v>MP010</x:v>
      </x:c>
      <x:c r="B11" s="44" t="d">
        <x:v>2026-08-04T00:00:00.000Z</x:v>
      </x:c>
      <x:c r="C11" s="19" t="str">
        <x:v>Kassala Main</x:v>
      </x:c>
      <x:c r="D11" s="19" t="str">
        <x:v>Kassala</x:v>
      </x:c>
      <x:c r="E11" s="19" t="str">
        <x:v>Cooking Oil</x:v>
      </x:c>
      <x:c r="F11" s="19" t="str">
        <x:v>litre</x:v>
      </x:c>
      <x:c r="G11" s="45" t="n">
        <x:v>3</x:v>
      </x:c>
      <x:c r="H11" s="46" t="n">
        <x:v>4950</x:v>
      </x:c>
      <x:c r="I11" s="47"/>
    </x:row>
    <x:row r="12">
      <x:c r="A12" s="19" t="str">
        <x:v>MP011</x:v>
      </x:c>
      <x:c r="B12" s="44" t="d">
        <x:v>2026-08-04T00:00:00.000Z</x:v>
      </x:c>
      <x:c r="C12" s="19" t="str">
        <x:v>Gedaref Market</x:v>
      </x:c>
      <x:c r="D12" s="19" t="str">
        <x:v>Gedaref</x:v>
      </x:c>
      <x:c r="E12" s="19" t="str">
        <x:v>Millet</x:v>
      </x:c>
      <x:c r="F12" s="19" t="str">
        <x:v>kg</x:v>
      </x:c>
      <x:c r="G12" s="45" t="n">
        <x:v>11</x:v>
      </x:c>
      <x:c r="H12" s="46" t="n">
        <x:v>2180</x:v>
      </x:c>
      <x:c r="I12" s="47"/>
    </x:row>
    <x:row r="13">
      <x:c r="A13" s="19" t="str">
        <x:v>MP012</x:v>
      </x:c>
      <x:c r="B13" s="44" t="d">
        <x:v>2026-08-04T00:00:00.000Z</x:v>
      </x:c>
      <x:c r="C13" s="19" t="str">
        <x:v>Atbara Market</x:v>
      </x:c>
      <x:c r="D13" s="19" t="str">
        <x:v>River Nile</x:v>
      </x:c>
      <x:c r="E13" s="19" t="str">
        <x:v>Sorghum</x:v>
      </x:c>
      <x:c r="F13" s="19" t="str">
        <x:v>kg</x:v>
      </x:c>
      <x:c r="G13" s="45" t="n">
        <x:v>14</x:v>
      </x:c>
      <x:c r="H13" s="46" t="n">
        <x:v>2100</x:v>
      </x:c>
      <x:c r="I13" s="47"/>
    </x:row>
    <x:row r="14">
      <x:c r="A14" s="19" t="str">
        <x:v>MP013</x:v>
      </x:c>
      <x:c r="B14" s="44" t="d">
        <x:v>2026-08-05T00:00:00.000Z</x:v>
      </x:c>
      <x:c r="C14" s="19" t="str">
        <x:v>Port Sudan Central</x:v>
      </x:c>
      <x:c r="D14" s="19" t="str">
        <x:v>Red Sea</x:v>
      </x:c>
      <x:c r="E14" s="19" t="str">
        <x:v>Sesame</x:v>
      </x:c>
      <x:c r="F14" s="19" t="str">
        <x:v>kg</x:v>
      </x:c>
      <x:c r="G14" s="45" t="n">
        <x:v>4</x:v>
      </x:c>
      <x:c r="H14" s="46" t="n">
        <x:v>4900</x:v>
      </x:c>
      <x:c r="I14" s="47"/>
    </x:row>
    <x:row r="15">
      <x:c r="A15" s="19" t="str">
        <x:v>MP014</x:v>
      </x:c>
      <x:c r="B15" s="44" t="d">
        <x:v>2026-08-05T00:00:00.000Z</x:v>
      </x:c>
      <x:c r="C15" s="19" t="str">
        <x:v>Kassala Main</x:v>
      </x:c>
      <x:c r="D15" s="19" t="str">
        <x:v>Kassala</x:v>
      </x:c>
      <x:c r="E15" s="19" t="str">
        <x:v>Wheat</x:v>
      </x:c>
      <x:c r="F15" s="19" t="str">
        <x:v>kg</x:v>
      </x:c>
      <x:c r="G15" s="45" t="n">
        <x:v>8</x:v>
      </x:c>
      <x:c r="H15" s="46" t="n">
        <x:v>3000</x:v>
      </x:c>
      <x:c r="I15" s="47"/>
    </x:row>
    <x:row r="16">
      <x:c r="A16" s="19" t="str">
        <x:v>MP015</x:v>
      </x:c>
      <x:c r="B16" s="44" t="d">
        <x:v>2026-08-05T00:00:00.000Z</x:v>
      </x:c>
      <x:c r="C16" s="19" t="str">
        <x:v>Gedaref Market</x:v>
      </x:c>
      <x:c r="D16" s="19" t="str">
        <x:v>Gedaref</x:v>
      </x:c>
      <x:c r="E16" s="19" t="str">
        <x:v>Cooking Oil</x:v>
      </x:c>
      <x:c r="F16" s="19" t="str">
        <x:v>litre</x:v>
      </x:c>
      <x:c r="G16" s="45" t="n">
        <x:v>5</x:v>
      </x:c>
      <x:c r="H16" s="46" t="n">
        <x:v>4800</x:v>
      </x:c>
      <x:c r="I16" s="47"/>
    </x:row>
    <x:row r="17">
      <x:c r="A17" s="19" t="str">
        <x:v>MP016</x:v>
      </x:c>
      <x:c r="B17" s="44" t="d">
        <x:v>2026-08-06T00:00:00.000Z</x:v>
      </x:c>
      <x:c r="C17" s="19" t="str">
        <x:v>Atbara Market</x:v>
      </x:c>
      <x:c r="D17" s="19" t="str">
        <x:v>River Nile</x:v>
      </x:c>
      <x:c r="E17" s="19" t="str">
        <x:v>Millet</x:v>
      </x:c>
      <x:c r="F17" s="19" t="str">
        <x:v>kg</x:v>
      </x:c>
      <x:c r="G17" s="45" t="n">
        <x:v>13</x:v>
      </x:c>
      <x:c r="H17" s="46" t="n">
        <x:v>2260</x:v>
      </x:c>
      <x:c r="I17" s="47"/>
    </x:row>
    <x:row r="18">
      <x:c r="A18" s="19" t="str">
        <x:v>MP017</x:v>
      </x:c>
      <x:c r="B18" s="44" t="d">
        <x:v>2026-08-06T00:00:00.000Z</x:v>
      </x:c>
      <x:c r="C18" s="19" t="str">
        <x:v>Port Sudan Central</x:v>
      </x:c>
      <x:c r="D18" s="19" t="str">
        <x:v>Red Sea</x:v>
      </x:c>
      <x:c r="E18" s="19" t="str">
        <x:v>Sorghum</x:v>
      </x:c>
      <x:c r="F18" s="19" t="str">
        <x:v>kg</x:v>
      </x:c>
      <x:c r="G18" s="45" t="n">
        <x:v>10</x:v>
      </x:c>
      <x:c r="H18" s="46" t="n">
        <x:v>2250</x:v>
      </x:c>
      <x:c r="I18" s="47"/>
    </x:row>
    <x:row r="19">
      <x:c r="A19" s="19" t="str">
        <x:v>MP018</x:v>
      </x:c>
      <x:c r="B19" s="44" t="d">
        <x:v>2026-08-06T00:00:00.000Z</x:v>
      </x:c>
      <x:c r="C19" s="19" t="str">
        <x:v>Kassala Main</x:v>
      </x:c>
      <x:c r="D19" s="19" t="str">
        <x:v>Kassala</x:v>
      </x:c>
      <x:c r="E19" s="19" t="str">
        <x:v>Sesame</x:v>
      </x:c>
      <x:c r="F19" s="19" t="str">
        <x:v>kg</x:v>
      </x:c>
      <x:c r="G19" s="45" t="n">
        <x:v>7</x:v>
      </x:c>
      <x:c r="H19" s="46" t="n">
        <x:v>4600</x:v>
      </x:c>
      <x:c r="I19" s="47"/>
    </x:row>
    <x:row r="20">
      <x:c r="A20" s="19" t="str">
        <x:v>MP019</x:v>
      </x:c>
      <x:c r="B20" s="44" t="d">
        <x:v>2026-08-07T00:00:00.000Z</x:v>
      </x:c>
      <x:c r="C20" s="19" t="str">
        <x:v>Gedaref Market</x:v>
      </x:c>
      <x:c r="D20" s="19" t="str">
        <x:v>Gedaref</x:v>
      </x:c>
      <x:c r="E20" s="19" t="str">
        <x:v>Wheat</x:v>
      </x:c>
      <x:c r="F20" s="19" t="str">
        <x:v>kg</x:v>
      </x:c>
      <x:c r="G20" s="45" t="n">
        <x:v>6</x:v>
      </x:c>
      <x:c r="H20" s="46" t="n">
        <x:v>2950</x:v>
      </x:c>
      <x:c r="I20" s="47"/>
    </x:row>
    <x:row r="21">
      <x:c r="A21" s="19" t="str">
        <x:v>MP020</x:v>
      </x:c>
      <x:c r="B21" s="44" t="d">
        <x:v>2026-08-07T00:00:00.000Z</x:v>
      </x:c>
      <x:c r="C21" s="19" t="str">
        <x:v>Atbara Market</x:v>
      </x:c>
      <x:c r="D21" s="19" t="str">
        <x:v>River Nile</x:v>
      </x:c>
      <x:c r="E21" s="19" t="str">
        <x:v>Cooking Oil</x:v>
      </x:c>
      <x:c r="F21" s="19" t="str">
        <x:v>litre</x:v>
      </x:c>
      <x:c r="G21" s="45" t="n">
        <x:v>4</x:v>
      </x:c>
      <x:c r="H21" s="46" t="n">
        <x:v>5050</x:v>
      </x:c>
      <x:c r="I21" s="47"/>
    </x:row>
    <x:row r="22">
      <x:c r="A22" s="19" t="str">
        <x:v>MP021</x:v>
      </x:c>
      <x:c r="B22" s="44" t="d">
        <x:v>2026-08-07T00:00:00.000Z</x:v>
      </x:c>
      <x:c r="C22" s="19" t="str">
        <x:v>Port Sudan Central</x:v>
      </x:c>
      <x:c r="D22" s="19" t="str">
        <x:v>Red Sea</x:v>
      </x:c>
      <x:c r="E22" s="19" t="str">
        <x:v>Millet</x:v>
      </x:c>
      <x:c r="F22" s="19" t="str">
        <x:v>kg</x:v>
      </x:c>
      <x:c r="G22" s="45" t="n">
        <x:v>12</x:v>
      </x:c>
      <x:c r="H22" s="46" t="n">
        <x:v>2400</x:v>
      </x:c>
      <x:c r="I22" s="47"/>
    </x:row>
    <x:row r="23">
      <x:c r="A23" s="19" t="str">
        <x:v>MP022</x:v>
      </x:c>
      <x:c r="B23" s="44" t="d">
        <x:v>2026-08-08T00:00:00.000Z</x:v>
      </x:c>
      <x:c r="C23" s="19" t="str">
        <x:v>Kassala Main</x:v>
      </x:c>
      <x:c r="D23" s="19" t="str">
        <x:v>Kassala</x:v>
      </x:c>
      <x:c r="E23" s="19" t="str">
        <x:v>Sorghum</x:v>
      </x:c>
      <x:c r="F23" s="19" t="str">
        <x:v>kg</x:v>
      </x:c>
      <x:c r="G23" s="45" t="n">
        <x:v>9</x:v>
      </x:c>
      <x:c r="H23" s="46" t="n">
        <x:v>2025</x:v>
      </x:c>
      <x:c r="I23" s="47"/>
    </x:row>
    <x:row r="24">
      <x:c r="A24" s="19" t="str">
        <x:v>MP023</x:v>
      </x:c>
      <x:c r="B24" s="44" t="d">
        <x:v>2026-08-08T00:00:00.000Z</x:v>
      </x:c>
      <x:c r="C24" s="19" t="str">
        <x:v>Gedaref Market</x:v>
      </x:c>
      <x:c r="D24" s="19" t="str">
        <x:v>Gedaref</x:v>
      </x:c>
      <x:c r="E24" s="19" t="str">
        <x:v>Sesame</x:v>
      </x:c>
      <x:c r="F24" s="19" t="str">
        <x:v>kg</x:v>
      </x:c>
      <x:c r="G24" s="45" t="n">
        <x:v>8</x:v>
      </x:c>
      <x:c r="H24" s="46" t="n">
        <x:v>4450</x:v>
      </x:c>
      <x:c r="I24" s="47"/>
    </x:row>
    <x:row r="25">
      <x:c r="A25" s="19" t="str">
        <x:v>MP024</x:v>
      </x:c>
      <x:c r="B25" s="44" t="d">
        <x:v>2026-08-08T00:00:00.000Z</x:v>
      </x:c>
      <x:c r="C25" s="19" t="str">
        <x:v>Atbara Market</x:v>
      </x:c>
      <x:c r="D25" s="19" t="str">
        <x:v>River Nile</x:v>
      </x:c>
      <x:c r="E25" s="19" t="str">
        <x:v>Wheat</x:v>
      </x:c>
      <x:c r="F25" s="19" t="str">
        <x:v>kg</x:v>
      </x:c>
      <x:c r="G25" s="45" t="n">
        <x:v>10</x:v>
      </x:c>
      <x:c r="H25" s="46" t="n">
        <x:v>3150</x:v>
      </x:c>
      <x:c r="I25" s="47"/>
    </x:row>
  </x:sheetData>
  <x:pageMargins left="0.7" right="0.7" top="0.75" bottom="0.75" header="0.3" footer="0.3"/>
  <x:tableParts count="1">
    <x:tablePart xmlns:r="http://schemas.openxmlformats.org/officeDocument/2006/relationships" r:id="Rad1f398b26f94e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1" max="11" width="23" hidden="0" customWidth="1"/>
    <x:col min="12" max="12" width="62" hidden="0" customWidth="1"/>
  </x:cols>
  <x:sheetData>
    <x:row r="1">
      <x:c r="A1" s="37" t="str">
        <x:v>transaction_id</x:v>
      </x:c>
      <x:c r="B1" s="38" t="str">
        <x:v>date</x:v>
      </x:c>
      <x:c r="C1" s="38" t="str">
        <x:v>market</x:v>
      </x:c>
      <x:c r="D1" s="38" t="str">
        <x:v>state</x:v>
      </x:c>
      <x:c r="E1" s="38" t="str">
        <x:v>commodity</x:v>
      </x:c>
      <x:c r="F1" s="38" t="str">
        <x:v>unit</x:v>
      </x:c>
      <x:c r="G1" s="38" t="str">
        <x:v>quantity</x:v>
      </x:c>
      <x:c r="H1" s="38" t="str">
        <x:v>unit_price_sdg</x:v>
      </x:c>
      <x:c r="I1" s="39" t="str">
        <x:v>purchase_cost_sdg</x:v>
      </x:c>
      <x:c r="K1" s="8" t="str">
        <x:v>Metric</x:v>
      </x:c>
      <x:c r="L1" s="8" t="str">
        <x:v>Answer</x:v>
      </x:c>
    </x:row>
    <x:row r="2">
      <x:c r="A2" s="9" t="str">
        <x:v>MP001</x:v>
      </x:c>
      <x:c r="B2" s="40" t="d">
        <x:v>2026-08-01T00:00:00.000Z</x:v>
      </x:c>
      <x:c r="C2" s="9" t="str">
        <x:v>Port Sudan Central</x:v>
      </x:c>
      <x:c r="D2" s="9" t="str">
        <x:v>Red Sea</x:v>
      </x:c>
      <x:c r="E2" s="9" t="str">
        <x:v>Sorghum</x:v>
      </x:c>
      <x:c r="F2" s="9" t="str">
        <x:v>kg</x:v>
      </x:c>
      <x:c r="G2" s="41" t="n">
        <x:v>8</x:v>
      </x:c>
      <x:c r="H2" s="42" t="n">
        <x:v>2200</x:v>
      </x:c>
      <x:c r="I2" s="42" t="n">
        <x:f>G2*H2</x:f>
        <x:v>17600</x:v>
      </x:c>
      <x:c r="K2" t="str">
        <x:v>Observation count</x:v>
      </x:c>
      <x:c r="L2" t="n">
        <x:f>COUNT(H2:H25)</x:f>
        <x:v>24</x:v>
      </x:c>
    </x:row>
    <x:row r="3">
      <x:c r="A3" s="9" t="str">
        <x:v>MP002</x:v>
      </x:c>
      <x:c r="B3" s="40" t="d">
        <x:v>2026-08-01T00:00:00.000Z</x:v>
      </x:c>
      <x:c r="C3" s="9" t="str">
        <x:v>Kassala Main</x:v>
      </x:c>
      <x:c r="D3" s="9" t="str">
        <x:v>Kassala</x:v>
      </x:c>
      <x:c r="E3" s="9" t="str">
        <x:v>Sorghum</x:v>
      </x:c>
      <x:c r="F3" s="9" t="str">
        <x:v>kg</x:v>
      </x:c>
      <x:c r="G3" s="41" t="n">
        <x:v>12</x:v>
      </x:c>
      <x:c r="H3" s="42" t="n">
        <x:v>2050</x:v>
      </x:c>
      <x:c r="I3" s="42" t="n">
        <x:f>G3*H3</x:f>
        <x:v>24600</x:v>
      </x:c>
      <x:c r="K3" t="str">
        <x:v>Highest unit price</x:v>
      </x:c>
      <x:c r="L3" s="53" t="n">
        <x:f>MAX(H2:H25)</x:f>
        <x:v>5100</x:v>
      </x:c>
    </x:row>
    <x:row r="4">
      <x:c r="A4" s="9" t="str">
        <x:v>MP003</x:v>
      </x:c>
      <x:c r="B4" s="40" t="d">
        <x:v>2026-08-01T00:00:00.000Z</x:v>
      </x:c>
      <x:c r="C4" s="9" t="str">
        <x:v>Gedaref Market</x:v>
      </x:c>
      <x:c r="D4" s="9" t="str">
        <x:v>Gedaref</x:v>
      </x:c>
      <x:c r="E4" s="9" t="str">
        <x:v>Sesame</x:v>
      </x:c>
      <x:c r="F4" s="9" t="str">
        <x:v>kg</x:v>
      </x:c>
      <x:c r="G4" s="41" t="n">
        <x:v>5</x:v>
      </x:c>
      <x:c r="H4" s="42" t="n">
        <x:v>4700</x:v>
      </x:c>
      <x:c r="I4" s="42" t="n">
        <x:f>G4*H4</x:f>
        <x:v>23500</x:v>
      </x:c>
      <x:c r="K4" t="str">
        <x:v>Lowest unit price</x:v>
      </x:c>
      <x:c r="L4" s="53" t="n">
        <x:f>MIN(H2:H25)</x:f>
        <x:v>1980</x:v>
      </x:c>
    </x:row>
    <x:row r="5">
      <x:c r="A5" s="9" t="str">
        <x:v>MP004</x:v>
      </x:c>
      <x:c r="B5" s="40" t="d">
        <x:v>2026-08-02T00:00:00.000Z</x:v>
      </x:c>
      <x:c r="C5" s="9" t="str">
        <x:v>Atbara Market</x:v>
      </x:c>
      <x:c r="D5" s="9" t="str">
        <x:v>River Nile</x:v>
      </x:c>
      <x:c r="E5" s="9" t="str">
        <x:v>Wheat</x:v>
      </x:c>
      <x:c r="F5" s="9" t="str">
        <x:v>kg</x:v>
      </x:c>
      <x:c r="G5" s="41" t="n">
        <x:v>7</x:v>
      </x:c>
      <x:c r="H5" s="42" t="n">
        <x:v>3100</x:v>
      </x:c>
      <x:c r="I5" s="42" t="n">
        <x:f>G5*H5</x:f>
        <x:v>21700</x:v>
      </x:c>
      <x:c r="K5" t="str">
        <x:v>Average unit price</x:v>
      </x:c>
      <x:c r="L5" s="53" t="n">
        <x:f>AVERAGE(H2:H25)</x:f>
        <x:v>3351.875</x:v>
      </x:c>
    </x:row>
    <x:row r="6">
      <x:c r="A6" s="9" t="str">
        <x:v>MP005</x:v>
      </x:c>
      <x:c r="B6" s="40" t="d">
        <x:v>2026-08-02T00:00:00.000Z</x:v>
      </x:c>
      <x:c r="C6" s="9" t="str">
        <x:v>Port Sudan Central</x:v>
      </x:c>
      <x:c r="D6" s="9" t="str">
        <x:v>Red Sea</x:v>
      </x:c>
      <x:c r="E6" s="9" t="str">
        <x:v>Cooking Oil</x:v>
      </x:c>
      <x:c r="F6" s="9" t="str">
        <x:v>litre</x:v>
      </x:c>
      <x:c r="G6" s="41" t="n">
        <x:v>4</x:v>
      </x:c>
      <x:c r="H6" s="42" t="n">
        <x:v>5100</x:v>
      </x:c>
      <x:c r="I6" s="42" t="n">
        <x:f>G6*H6</x:f>
        <x:v>20400</x:v>
      </x:c>
      <x:c r="K6" t="str">
        <x:v>Total purchase cost</x:v>
      </x:c>
      <x:c r="L6" s="53" t="n">
        <x:f>SUM(I2:I25)</x:f>
        <x:v>590385</x:v>
      </x:c>
    </x:row>
    <x:row r="7">
      <x:c r="A7" s="9" t="str">
        <x:v>MP006</x:v>
      </x:c>
      <x:c r="B7" s="40" t="d">
        <x:v>2026-08-02T00:00:00.000Z</x:v>
      </x:c>
      <x:c r="C7" s="9" t="str">
        <x:v>Kassala Main</x:v>
      </x:c>
      <x:c r="D7" s="9" t="str">
        <x:v>Kassala</x:v>
      </x:c>
      <x:c r="E7" s="9" t="str">
        <x:v>Millet</x:v>
      </x:c>
      <x:c r="F7" s="9" t="str">
        <x:v>kg</x:v>
      </x:c>
      <x:c r="G7" s="41" t="n">
        <x:v>10</x:v>
      </x:c>
      <x:c r="H7" s="42" t="n">
        <x:v>2350</x:v>
      </x:c>
      <x:c r="I7" s="42" t="n">
        <x:f>G7*H7</x:f>
        <x:v>23500</x:v>
      </x:c>
    </x:row>
    <x:row r="8">
      <x:c r="A8" s="9" t="str">
        <x:v>MP007</x:v>
      </x:c>
      <x:c r="B8" s="40" t="d">
        <x:v>2026-08-03T00:00:00.000Z</x:v>
      </x:c>
      <x:c r="C8" s="9" t="str">
        <x:v>Gedaref Market</x:v>
      </x:c>
      <x:c r="D8" s="9" t="str">
        <x:v>Gedaref</x:v>
      </x:c>
      <x:c r="E8" s="9" t="str">
        <x:v>Sorghum</x:v>
      </x:c>
      <x:c r="F8" s="9" t="str">
        <x:v>kg</x:v>
      </x:c>
      <x:c r="G8" s="41" t="n">
        <x:v>15</x:v>
      </x:c>
      <x:c r="H8" s="42" t="n">
        <x:v>1980</x:v>
      </x:c>
      <x:c r="I8" s="42" t="n">
        <x:f>G8*H8</x:f>
        <x:v>29700</x:v>
      </x:c>
      <x:c r="K8" s="50" t="str">
        <x:v>Sorghum check</x:v>
      </x:c>
      <x:c r="L8" s="50" t="str">
        <x:v>Lowest listed unit price</x:v>
      </x:c>
    </x:row>
    <x:row r="9">
      <x:c r="A9" s="9" t="str">
        <x:v>MP008</x:v>
      </x:c>
      <x:c r="B9" s="40" t="d">
        <x:v>2026-08-03T00:00:00.000Z</x:v>
      </x:c>
      <x:c r="C9" s="9" t="str">
        <x:v>Atbara Market</x:v>
      </x:c>
      <x:c r="D9" s="9" t="str">
        <x:v>River Nile</x:v>
      </x:c>
      <x:c r="E9" s="9" t="str">
        <x:v>Sesame</x:v>
      </x:c>
      <x:c r="F9" s="9" t="str">
        <x:v>kg</x:v>
      </x:c>
      <x:c r="G9" s="41" t="n">
        <x:v>6</x:v>
      </x:c>
      <x:c r="H9" s="42" t="n">
        <x:v>4550</x:v>
      </x:c>
      <x:c r="I9" s="42" t="n">
        <x:f>G9*H9</x:f>
        <x:v>27300</x:v>
      </x:c>
      <x:c r="K9" t="str">
        <x:v>Gedaref Market</x:v>
      </x:c>
      <x:c r="L9" t="n">
        <x:v>1980</x:v>
      </x:c>
    </x:row>
    <x:row r="10">
      <x:c r="A10" s="9" t="str">
        <x:v>MP009</x:v>
      </x:c>
      <x:c r="B10" s="40" t="d">
        <x:v>2026-08-03T00:00:00.000Z</x:v>
      </x:c>
      <x:c r="C10" s="9" t="str">
        <x:v>Port Sudan Central</x:v>
      </x:c>
      <x:c r="D10" s="9" t="str">
        <x:v>Red Sea</x:v>
      </x:c>
      <x:c r="E10" s="9" t="str">
        <x:v>Wheat</x:v>
      </x:c>
      <x:c r="F10" s="9" t="str">
        <x:v>kg</x:v>
      </x:c>
      <x:c r="G10" s="41" t="n">
        <x:v>9</x:v>
      </x:c>
      <x:c r="H10" s="42" t="n">
        <x:v>3350</x:v>
      </x:c>
      <x:c r="I10" s="42" t="n">
        <x:f>G10*H10</x:f>
        <x:v>30150</x:v>
      </x:c>
    </x:row>
    <x:row r="11">
      <x:c r="A11" s="9" t="str">
        <x:v>MP010</x:v>
      </x:c>
      <x:c r="B11" s="40" t="d">
        <x:v>2026-08-04T00:00:00.000Z</x:v>
      </x:c>
      <x:c r="C11" s="9" t="str">
        <x:v>Kassala Main</x:v>
      </x:c>
      <x:c r="D11" s="9" t="str">
        <x:v>Kassala</x:v>
      </x:c>
      <x:c r="E11" s="9" t="str">
        <x:v>Cooking Oil</x:v>
      </x:c>
      <x:c r="F11" s="9" t="str">
        <x:v>litre</x:v>
      </x:c>
      <x:c r="G11" s="41" t="n">
        <x:v>3</x:v>
      </x:c>
      <x:c r="H11" s="42" t="n">
        <x:v>4950</x:v>
      </x:c>
      <x:c r="I11" s="42" t="n">
        <x:f>G11*H11</x:f>
        <x:v>14850</x:v>
      </x:c>
      <x:c r="K11" s="52" t="str">
        <x:v>Example observation</x:v>
      </x:c>
      <x:c r="L11" s="54" t="str">
        <x:v>Gedaref Market has the lowest listed sorghum price in this dataset at SDG 1,980 per kg.</x:v>
      </x:c>
    </x:row>
    <x:row r="12">
      <x:c r="A12" s="9" t="str">
        <x:v>MP011</x:v>
      </x:c>
      <x:c r="B12" s="40" t="d">
        <x:v>2026-08-04T00:00:00.000Z</x:v>
      </x:c>
      <x:c r="C12" s="9" t="str">
        <x:v>Gedaref Market</x:v>
      </x:c>
      <x:c r="D12" s="9" t="str">
        <x:v>Gedaref</x:v>
      </x:c>
      <x:c r="E12" s="9" t="str">
        <x:v>Millet</x:v>
      </x:c>
      <x:c r="F12" s="9" t="str">
        <x:v>kg</x:v>
      </x:c>
      <x:c r="G12" s="41" t="n">
        <x:v>11</x:v>
      </x:c>
      <x:c r="H12" s="42" t="n">
        <x:v>2180</x:v>
      </x:c>
      <x:c r="I12" s="42" t="n">
        <x:f>G12*H12</x:f>
        <x:v>23980</x:v>
      </x:c>
      <x:c r="K12" s="52" t="str">
        <x:v>Possible hypothesis</x:v>
      </x:c>
      <x:c r="L12" s="54" t="str">
        <x:v>Differences may reflect transport, supply, timing, or other factors not measured here.</x:v>
      </x:c>
    </x:row>
    <x:row r="13">
      <x:c r="A13" s="9" t="str">
        <x:v>MP012</x:v>
      </x:c>
      <x:c r="B13" s="40" t="d">
        <x:v>2026-08-04T00:00:00.000Z</x:v>
      </x:c>
      <x:c r="C13" s="9" t="str">
        <x:v>Atbara Market</x:v>
      </x:c>
      <x:c r="D13" s="9" t="str">
        <x:v>River Nile</x:v>
      </x:c>
      <x:c r="E13" s="9" t="str">
        <x:v>Sorghum</x:v>
      </x:c>
      <x:c r="F13" s="9" t="str">
        <x:v>kg</x:v>
      </x:c>
      <x:c r="G13" s="41" t="n">
        <x:v>14</x:v>
      </x:c>
      <x:c r="H13" s="42" t="n">
        <x:v>2100</x:v>
      </x:c>
      <x:c r="I13" s="42" t="n">
        <x:f>G13*H13</x:f>
        <x:v>29400</x:v>
      </x:c>
    </x:row>
    <x:row r="14">
      <x:c r="A14" s="9" t="str">
        <x:v>MP013</x:v>
      </x:c>
      <x:c r="B14" s="40" t="d">
        <x:v>2026-08-05T00:00:00.000Z</x:v>
      </x:c>
      <x:c r="C14" s="9" t="str">
        <x:v>Port Sudan Central</x:v>
      </x:c>
      <x:c r="D14" s="9" t="str">
        <x:v>Red Sea</x:v>
      </x:c>
      <x:c r="E14" s="9" t="str">
        <x:v>Sesame</x:v>
      </x:c>
      <x:c r="F14" s="9" t="str">
        <x:v>kg</x:v>
      </x:c>
      <x:c r="G14" s="41" t="n">
        <x:v>4</x:v>
      </x:c>
      <x:c r="H14" s="42" t="n">
        <x:v>4900</x:v>
      </x:c>
      <x:c r="I14" s="42" t="n">
        <x:f>G14*H14</x:f>
        <x:v>19600</x:v>
      </x:c>
    </x:row>
    <x:row r="15">
      <x:c r="A15" s="9" t="str">
        <x:v>MP014</x:v>
      </x:c>
      <x:c r="B15" s="40" t="d">
        <x:v>2026-08-05T00:00:00.000Z</x:v>
      </x:c>
      <x:c r="C15" s="9" t="str">
        <x:v>Kassala Main</x:v>
      </x:c>
      <x:c r="D15" s="9" t="str">
        <x:v>Kassala</x:v>
      </x:c>
      <x:c r="E15" s="9" t="str">
        <x:v>Wheat</x:v>
      </x:c>
      <x:c r="F15" s="9" t="str">
        <x:v>kg</x:v>
      </x:c>
      <x:c r="G15" s="41" t="n">
        <x:v>8</x:v>
      </x:c>
      <x:c r="H15" s="42" t="n">
        <x:v>3000</x:v>
      </x:c>
      <x:c r="I15" s="42" t="n">
        <x:f>G15*H15</x:f>
        <x:v>24000</x:v>
      </x:c>
    </x:row>
    <x:row r="16">
      <x:c r="A16" s="9" t="str">
        <x:v>MP015</x:v>
      </x:c>
      <x:c r="B16" s="40" t="d">
        <x:v>2026-08-05T00:00:00.000Z</x:v>
      </x:c>
      <x:c r="C16" s="9" t="str">
        <x:v>Gedaref Market</x:v>
      </x:c>
      <x:c r="D16" s="9" t="str">
        <x:v>Gedaref</x:v>
      </x:c>
      <x:c r="E16" s="9" t="str">
        <x:v>Cooking Oil</x:v>
      </x:c>
      <x:c r="F16" s="9" t="str">
        <x:v>litre</x:v>
      </x:c>
      <x:c r="G16" s="41" t="n">
        <x:v>5</x:v>
      </x:c>
      <x:c r="H16" s="42" t="n">
        <x:v>4800</x:v>
      </x:c>
      <x:c r="I16" s="42" t="n">
        <x:f>G16*H16</x:f>
        <x:v>24000</x:v>
      </x:c>
    </x:row>
    <x:row r="17">
      <x:c r="A17" s="9" t="str">
        <x:v>MP016</x:v>
      </x:c>
      <x:c r="B17" s="40" t="d">
        <x:v>2026-08-06T00:00:00.000Z</x:v>
      </x:c>
      <x:c r="C17" s="9" t="str">
        <x:v>Atbara Market</x:v>
      </x:c>
      <x:c r="D17" s="9" t="str">
        <x:v>River Nile</x:v>
      </x:c>
      <x:c r="E17" s="9" t="str">
        <x:v>Millet</x:v>
      </x:c>
      <x:c r="F17" s="9" t="str">
        <x:v>kg</x:v>
      </x:c>
      <x:c r="G17" s="41" t="n">
        <x:v>13</x:v>
      </x:c>
      <x:c r="H17" s="42" t="n">
        <x:v>2260</x:v>
      </x:c>
      <x:c r="I17" s="42" t="n">
        <x:f>G17*H17</x:f>
        <x:v>29380</x:v>
      </x:c>
    </x:row>
    <x:row r="18">
      <x:c r="A18" s="9" t="str">
        <x:v>MP017</x:v>
      </x:c>
      <x:c r="B18" s="40" t="d">
        <x:v>2026-08-06T00:00:00.000Z</x:v>
      </x:c>
      <x:c r="C18" s="9" t="str">
        <x:v>Port Sudan Central</x:v>
      </x:c>
      <x:c r="D18" s="9" t="str">
        <x:v>Red Sea</x:v>
      </x:c>
      <x:c r="E18" s="9" t="str">
        <x:v>Sorghum</x:v>
      </x:c>
      <x:c r="F18" s="9" t="str">
        <x:v>kg</x:v>
      </x:c>
      <x:c r="G18" s="41" t="n">
        <x:v>10</x:v>
      </x:c>
      <x:c r="H18" s="42" t="n">
        <x:v>2250</x:v>
      </x:c>
      <x:c r="I18" s="42" t="n">
        <x:f>G18*H18</x:f>
        <x:v>22500</x:v>
      </x:c>
    </x:row>
    <x:row r="19">
      <x:c r="A19" s="9" t="str">
        <x:v>MP018</x:v>
      </x:c>
      <x:c r="B19" s="40" t="d">
        <x:v>2026-08-06T00:00:00.000Z</x:v>
      </x:c>
      <x:c r="C19" s="9" t="str">
        <x:v>Kassala Main</x:v>
      </x:c>
      <x:c r="D19" s="9" t="str">
        <x:v>Kassala</x:v>
      </x:c>
      <x:c r="E19" s="9" t="str">
        <x:v>Sesame</x:v>
      </x:c>
      <x:c r="F19" s="9" t="str">
        <x:v>kg</x:v>
      </x:c>
      <x:c r="G19" s="41" t="n">
        <x:v>7</x:v>
      </x:c>
      <x:c r="H19" s="42" t="n">
        <x:v>4600</x:v>
      </x:c>
      <x:c r="I19" s="42" t="n">
        <x:f>G19*H19</x:f>
        <x:v>32200</x:v>
      </x:c>
    </x:row>
    <x:row r="20">
      <x:c r="A20" s="9" t="str">
        <x:v>MP019</x:v>
      </x:c>
      <x:c r="B20" s="40" t="d">
        <x:v>2026-08-07T00:00:00.000Z</x:v>
      </x:c>
      <x:c r="C20" s="9" t="str">
        <x:v>Gedaref Market</x:v>
      </x:c>
      <x:c r="D20" s="9" t="str">
        <x:v>Gedaref</x:v>
      </x:c>
      <x:c r="E20" s="9" t="str">
        <x:v>Wheat</x:v>
      </x:c>
      <x:c r="F20" s="9" t="str">
        <x:v>kg</x:v>
      </x:c>
      <x:c r="G20" s="41" t="n">
        <x:v>6</x:v>
      </x:c>
      <x:c r="H20" s="42" t="n">
        <x:v>2950</x:v>
      </x:c>
      <x:c r="I20" s="42" t="n">
        <x:f>G20*H20</x:f>
        <x:v>17700</x:v>
      </x:c>
    </x:row>
    <x:row r="21">
      <x:c r="A21" s="9" t="str">
        <x:v>MP020</x:v>
      </x:c>
      <x:c r="B21" s="40" t="d">
        <x:v>2026-08-07T00:00:00.000Z</x:v>
      </x:c>
      <x:c r="C21" s="9" t="str">
        <x:v>Atbara Market</x:v>
      </x:c>
      <x:c r="D21" s="9" t="str">
        <x:v>River Nile</x:v>
      </x:c>
      <x:c r="E21" s="9" t="str">
        <x:v>Cooking Oil</x:v>
      </x:c>
      <x:c r="F21" s="9" t="str">
        <x:v>litre</x:v>
      </x:c>
      <x:c r="G21" s="41" t="n">
        <x:v>4</x:v>
      </x:c>
      <x:c r="H21" s="42" t="n">
        <x:v>5050</x:v>
      </x:c>
      <x:c r="I21" s="42" t="n">
        <x:f>G21*H21</x:f>
        <x:v>20200</x:v>
      </x:c>
    </x:row>
    <x:row r="22">
      <x:c r="A22" s="9" t="str">
        <x:v>MP021</x:v>
      </x:c>
      <x:c r="B22" s="40" t="d">
        <x:v>2026-08-07T00:00:00.000Z</x:v>
      </x:c>
      <x:c r="C22" s="9" t="str">
        <x:v>Port Sudan Central</x:v>
      </x:c>
      <x:c r="D22" s="9" t="str">
        <x:v>Red Sea</x:v>
      </x:c>
      <x:c r="E22" s="9" t="str">
        <x:v>Millet</x:v>
      </x:c>
      <x:c r="F22" s="9" t="str">
        <x:v>kg</x:v>
      </x:c>
      <x:c r="G22" s="41" t="n">
        <x:v>12</x:v>
      </x:c>
      <x:c r="H22" s="42" t="n">
        <x:v>2400</x:v>
      </x:c>
      <x:c r="I22" s="42" t="n">
        <x:f>G22*H22</x:f>
        <x:v>28800</x:v>
      </x:c>
    </x:row>
    <x:row r="23">
      <x:c r="A23" s="9" t="str">
        <x:v>MP022</x:v>
      </x:c>
      <x:c r="B23" s="40" t="d">
        <x:v>2026-08-08T00:00:00.000Z</x:v>
      </x:c>
      <x:c r="C23" s="9" t="str">
        <x:v>Kassala Main</x:v>
      </x:c>
      <x:c r="D23" s="9" t="str">
        <x:v>Kassala</x:v>
      </x:c>
      <x:c r="E23" s="9" t="str">
        <x:v>Sorghum</x:v>
      </x:c>
      <x:c r="F23" s="9" t="str">
        <x:v>kg</x:v>
      </x:c>
      <x:c r="G23" s="41" t="n">
        <x:v>9</x:v>
      </x:c>
      <x:c r="H23" s="42" t="n">
        <x:v>2025</x:v>
      </x:c>
      <x:c r="I23" s="42" t="n">
        <x:f>G23*H23</x:f>
        <x:v>18225</x:v>
      </x:c>
    </x:row>
    <x:row r="24">
      <x:c r="A24" s="9" t="str">
        <x:v>MP023</x:v>
      </x:c>
      <x:c r="B24" s="40" t="d">
        <x:v>2026-08-08T00:00:00.000Z</x:v>
      </x:c>
      <x:c r="C24" s="9" t="str">
        <x:v>Gedaref Market</x:v>
      </x:c>
      <x:c r="D24" s="9" t="str">
        <x:v>Gedaref</x:v>
      </x:c>
      <x:c r="E24" s="9" t="str">
        <x:v>Sesame</x:v>
      </x:c>
      <x:c r="F24" s="9" t="str">
        <x:v>kg</x:v>
      </x:c>
      <x:c r="G24" s="41" t="n">
        <x:v>8</x:v>
      </x:c>
      <x:c r="H24" s="42" t="n">
        <x:v>4450</x:v>
      </x:c>
      <x:c r="I24" s="42" t="n">
        <x:f>G24*H24</x:f>
        <x:v>35600</x:v>
      </x:c>
    </x:row>
    <x:row r="25">
      <x:c r="A25" s="9" t="str">
        <x:v>MP024</x:v>
      </x:c>
      <x:c r="B25" s="40" t="d">
        <x:v>2026-08-08T00:00:00.000Z</x:v>
      </x:c>
      <x:c r="C25" s="9" t="str">
        <x:v>Atbara Market</x:v>
      </x:c>
      <x:c r="D25" s="9" t="str">
        <x:v>River Nile</x:v>
      </x:c>
      <x:c r="E25" s="9" t="str">
        <x:v>Wheat</x:v>
      </x:c>
      <x:c r="F25" s="9" t="str">
        <x:v>kg</x:v>
      </x:c>
      <x:c r="G25" s="41" t="n">
        <x:v>10</x:v>
      </x:c>
      <x:c r="H25" s="42" t="n">
        <x:v>3150</x:v>
      </x:c>
      <x:c r="I25" s="42" t="n">
        <x:f>G25*H25</x:f>
        <x:v>31500</x:v>
      </x:c>
    </x:row>
  </x:sheetData>
  <x:pageMargins left="0.7" right="0.7" top="0.75" bottom="0.75" header="0.3" footer="0.3"/>
  <x:tableParts count="1">
    <x:tablePart xmlns:r="http://schemas.openxmlformats.org/officeDocument/2006/relationships" r:id="R8c7c8572fa064c4a"/>
  </x:tableParts>
</x:worksheet>
</file>